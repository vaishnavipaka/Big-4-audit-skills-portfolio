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shal paka\Downloads\"/>
    </mc:Choice>
  </mc:AlternateContent>
  <xr:revisionPtr revIDLastSave="0" documentId="8_{89ADC3C0-F582-4BAD-A179-29A32901ED81}" xr6:coauthVersionLast="36" xr6:coauthVersionMax="36" xr10:uidLastSave="{00000000-0000-0000-0000-000000000000}"/>
  <bookViews>
    <workbookView xWindow="0" yWindow="0" windowWidth="20490" windowHeight="7425" firstSheet="3" activeTab="6" xr2:uid="{00000000-000D-0000-FFFF-FFFF00000000}"/>
  </bookViews>
  <sheets>
    <sheet name="Read Me" sheetId="1" r:id="rId1"/>
    <sheet name="Variance Analysis" sheetId="2" r:id="rId2"/>
    <sheet name="Ratio Analysis" sheetId="3" r:id="rId3"/>
    <sheet name="Narrative Memo" sheetId="4" r:id="rId4"/>
    <sheet name="Learning Notes" sheetId="5" r:id="rId5"/>
    <sheet name="Sources and Assumptions" sheetId="6" r:id="rId6"/>
    <sheet name="Integrated Summary" sheetId="7" r:id="rId7"/>
  </sheets>
  <calcPr calcId="191029"/>
</workbook>
</file>

<file path=xl/calcChain.xml><?xml version="1.0" encoding="utf-8"?>
<calcChain xmlns="http://schemas.openxmlformats.org/spreadsheetml/2006/main">
  <c r="C18" i="3" l="1"/>
  <c r="D18" i="3"/>
  <c r="B5" i="3"/>
  <c r="C5" i="3"/>
  <c r="D5" i="3"/>
  <c r="B6" i="3"/>
  <c r="C6" i="3"/>
  <c r="D6" i="3"/>
  <c r="B7" i="3"/>
  <c r="C7" i="3"/>
  <c r="D7" i="3"/>
  <c r="B8" i="3"/>
  <c r="C8" i="3"/>
  <c r="D8" i="3"/>
  <c r="C4" i="3"/>
  <c r="D4" i="3"/>
  <c r="E17" i="2"/>
  <c r="F17" i="2"/>
  <c r="E18" i="2"/>
  <c r="F18" i="2"/>
  <c r="E19" i="2"/>
  <c r="F19" i="2"/>
  <c r="E20" i="2"/>
  <c r="F20" i="2"/>
  <c r="E21" i="2"/>
  <c r="F21" i="2"/>
  <c r="E22" i="2"/>
  <c r="F22" i="2"/>
  <c r="F1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6" i="2"/>
  <c r="F6" i="2"/>
  <c r="B18" i="3"/>
  <c r="B4" i="3"/>
  <c r="E6" i="2"/>
</calcChain>
</file>

<file path=xl/sharedStrings.xml><?xml version="1.0" encoding="utf-8"?>
<sst xmlns="http://schemas.openxmlformats.org/spreadsheetml/2006/main" count="130" uniqueCount="127">
  <si>
    <t>Titan Company Ltd. — Financial Statement Review &amp; Variance Analysis (FY2023–FY2025)</t>
  </si>
  <si>
    <t>Project 3 of 3 — Audit &amp; Finance Skills Portfolio</t>
  </si>
  <si>
    <t>What this project is:</t>
  </si>
  <si>
    <t>A year-over-year variance and ratio analysis of Titan Company's consolidated financial results,</t>
  </si>
  <si>
    <t>built using live Excel formulas (not hardcoded values) to demonstrate the financial statement</t>
  </si>
  <si>
    <t>review and Excel skills listed in real finance/audit job postings.</t>
  </si>
  <si>
    <t>How to read this workbook:</t>
  </si>
  <si>
    <t>- Grey cells = raw input data (Titan's actual reported figures)</t>
  </si>
  <si>
    <t>- Blue text cells = live formulas that calculate from the grey inputs</t>
  </si>
  <si>
    <t>- Hover over any cell with a small red triangle to see a note explaining what it calculates</t>
  </si>
  <si>
    <t>- Yellow highlight = a year-over-year change exceeding 15%, flagged for investigation</t>
  </si>
  <si>
    <t>Tabs:</t>
  </si>
  <si>
    <t>- 'Variance Analysis': 3-year P&amp;L and Balance Sheet with formula-driven YoY % change</t>
  </si>
  <si>
    <t>- 'Ratio Analysis': profitability, leverage, and efficiency ratios, all formula-driven</t>
  </si>
  <si>
    <t>- 'Narrative Memo': plain-English explanation of the biggest movements and why they matter</t>
  </si>
  <si>
    <t>- 'Learning Notes': what each financial term/ratio means, in plain English</t>
  </si>
  <si>
    <t>- 'Sources and Assumptions': where every number came from</t>
  </si>
  <si>
    <t>This continues from Project 1 (Internal Controls Testing), which also used Titan Company Ltd.</t>
  </si>
  <si>
    <t>Titan Company Ltd. — Consolidated P&amp;L and Balance Sheet, FY2023–FY2025 (Rs. Crores)</t>
  </si>
  <si>
    <t>Source: Titan Company consolidated financials (Screener.in, from BSE filings). Grey = input data. Blue = live formula. Yellow = |change| &gt; 15%.</t>
  </si>
  <si>
    <t>Line Item</t>
  </si>
  <si>
    <t>FY2023</t>
  </si>
  <si>
    <t>FY2024</t>
  </si>
  <si>
    <t>FY2025</t>
  </si>
  <si>
    <t>FY24 vs FY23 (%)</t>
  </si>
  <si>
    <t>FY25 vs FY24 (%)</t>
  </si>
  <si>
    <t>Profit &amp; Loss</t>
  </si>
  <si>
    <t>Revenue (Sales)</t>
  </si>
  <si>
    <t>Total Expenses</t>
  </si>
  <si>
    <t>Operating Profit</t>
  </si>
  <si>
    <t>Other Income</t>
  </si>
  <si>
    <t>Interest Expense</t>
  </si>
  <si>
    <t>Depreciation</t>
  </si>
  <si>
    <t>Profit Before Tax</t>
  </si>
  <si>
    <t>Net Profit</t>
  </si>
  <si>
    <t>Balance Sheet</t>
  </si>
  <si>
    <t>Reserves</t>
  </si>
  <si>
    <t>Borrowings</t>
  </si>
  <si>
    <t>Other Liabilities</t>
  </si>
  <si>
    <t>Total Liabilities/Assets</t>
  </si>
  <si>
    <t>Fixed Assets</t>
  </si>
  <si>
    <t>Investments</t>
  </si>
  <si>
    <t>Other Assets</t>
  </si>
  <si>
    <t>Key Ratios, FY2023–FY2025 — all calculated via formula from 'Variance Analysis' tab</t>
  </si>
  <si>
    <t>Ratio</t>
  </si>
  <si>
    <t>Operating Profit Margin (%)</t>
  </si>
  <si>
    <t>Net Profit Margin (%)</t>
  </si>
  <si>
    <t>Debt (Borrowings) as % of Total Assets</t>
  </si>
  <si>
    <t>Interest Coverage Ratio (x)</t>
  </si>
  <si>
    <t>Return on Equity, approx. (%)</t>
  </si>
  <si>
    <t>Additional ratios (sourced directly from Titan's reported data, Screener.in)</t>
  </si>
  <si>
    <t>Debtor Days</t>
  </si>
  <si>
    <t>Inventory Days</t>
  </si>
  <si>
    <t>Days Payable</t>
  </si>
  <si>
    <t>Cash Conversion Cycle (days)</t>
  </si>
  <si>
    <t>ROCE (%)</t>
  </si>
  <si>
    <t>Equity-Funded % of Balance Sheet</t>
  </si>
  <si>
    <t>Narrative Memo — Fluctuation Analysis</t>
  </si>
  <si>
    <t>Revenue grew strongly across both years (+25.9% FY24, +18.3% FY25), driven by Titan's jewellery</t>
  </si>
  <si>
    <t>business and continued store expansion. However, profitability did not keep pace: Operating</t>
  </si>
  <si>
    <t>Profit Margin fell from 12% to 9%, and Net Profit Margin fell even faster once rising interest</t>
  </si>
  <si>
    <t>costs are factored in.</t>
  </si>
  <si>
    <t>INVENTORY: Inventory Days rose from 176 to 217 days in FY25 (per Titan's reported ratios) —</t>
  </si>
  <si>
    <t>meaning gold/jewellery stock is sitting longer before being sold, tying up increasing amounts of</t>
  </si>
  <si>
    <t>cash. This directly confirms the inventory valuation risk identified in Project 1's Risk &amp; Control</t>
  </si>
  <si>
    <t>Matrix, now visible as a real, worsening financial trend rather than a theoretical risk.</t>
  </si>
  <si>
    <t>FUNDING THE GROWTH: To fund this inventory buildup and broader expansion, Titan simultaneously</t>
  </si>
  <si>
    <t>(a) drew down its own Investments (Rs 2,515 Cr -&gt; Rs 1,988 Cr) and (b) more than doubled its</t>
  </si>
  <si>
    <t>Borrowings (Rs 9,367 Cr -&gt; Rs 20,777 Cr). As a result, the % of the balance sheet funded by</t>
  </si>
  <si>
    <t>Titan's own equity/reserves fell from 43.9% to 28.6% over just two years — growth is increasingly</t>
  </si>
  <si>
    <t>financed by debt, not internally generated funds. Interest Coverage fell sharply as a direct</t>
  </si>
  <si>
    <t>consequence, from roughly 15x down to under 6x.</t>
  </si>
  <si>
    <t>RESERVES: Reserves actually fell in FY24 (Rs 11,762 Cr -&gt; Rs 9,304 Cr) despite Titan earning</t>
  </si>
  <si>
    <t>Rs 3,496 Cr net profit that year — this only happens if dividend/buyback payouts exceeded that</t>
  </si>
  <si>
    <t>year's profit, a genuine discussion point for an interview.</t>
  </si>
  <si>
    <t>NET PROFIT: Net Profit was roughly flat to slightly down in FY25 (-4.5%) despite revenue growing</t>
  </si>
  <si>
    <t>18.3% — this divergence between top-line growth and bottom-line stagnation is exactly what a</t>
  </si>
  <si>
    <t>fluctuation analysis is designed to catch, and it ties directly to the margin compression and</t>
  </si>
  <si>
    <t>rising interest cost noted above.</t>
  </si>
  <si>
    <t>Term</t>
  </si>
  <si>
    <t>Plain-English Explanation</t>
  </si>
  <si>
    <t>YoY Variance</t>
  </si>
  <si>
    <t>How much a number changed from one year to the next, shown as a percentage — the core tool for spotting unusual movements.</t>
  </si>
  <si>
    <t>Operating Profit Margin</t>
  </si>
  <si>
    <t>Operating Profit divided by Revenue — shows how much profit is made from core business operations, before interest and tax.</t>
  </si>
  <si>
    <t>Net Profit Margin</t>
  </si>
  <si>
    <t>Net Profit divided by Revenue — shows how much of every rupee of sales actually becomes final profit.</t>
  </si>
  <si>
    <t>Interest Coverage Ratio</t>
  </si>
  <si>
    <t>How many times over a company could pay its interest expense from its profits — a lower number means rising financial risk.</t>
  </si>
  <si>
    <t>Return on Equity (ROE)</t>
  </si>
  <si>
    <t>Net Profit divided by shareholders' equity — shows the return generated on the owners' own investment in the business.</t>
  </si>
  <si>
    <t>ROCE</t>
  </si>
  <si>
    <t>Return on Capital Employed — profit relative to ALL capital invested (debt + equity), not just shareholders' portion. Useful for comparing efficiency regardless of how a company is financed.</t>
  </si>
  <si>
    <t>Cash Conversion Cycle</t>
  </si>
  <si>
    <t>How many days, on average, cash is tied up between paying for inventory and collecting cash from customers. Shorter is generally healthier.</t>
  </si>
  <si>
    <t>Fluctuation/Variance Analysis</t>
  </si>
  <si>
    <t>The audit and finance practice of comparing numbers across periods and investigating any unusually large swings, rather than assuming growth is automatically good news.</t>
  </si>
  <si>
    <t>Sources and Assumptions</t>
  </si>
  <si>
    <t>All financial figures (Revenue, Expenses, Operating Profit, Interest, Depreciation, PBT, Net Profit,</t>
  </si>
  <si>
    <t>Reserves, Borrowings, Liabilities, Assets, Debtor Days, Inventory Days, Days Payable, ROCE) are</t>
  </si>
  <si>
    <t>Titan Company Ltd.'s actual reported CONSOLIDATED figures for FY2023, FY2024, and FY2025,</t>
  </si>
  <si>
    <t>sourced via Screener.in (screener.in/company/TITAN), which compiles data from Titan's official</t>
  </si>
  <si>
    <t>BSE filings and annual reports.</t>
  </si>
  <si>
    <t>This is a real company's real financial data — unlike Project 2's synthetic dataset, no figures</t>
  </si>
  <si>
    <t>here were invented or modified. All % changes and ratios are LIVE EXCEL FORMULAS referencing</t>
  </si>
  <si>
    <t>the raw input cells (grey-shaded) — not hardcoded values — so changing an input automatically</t>
  </si>
  <si>
    <t>recalculates every dependent figure.</t>
  </si>
  <si>
    <t>Equity Capital (Rs 89 Cr) is treated as constant across all 3 years for the ROE calculation,</t>
  </si>
  <si>
    <t>matching Titan's reported figures where Equity Capital did not change over this period.</t>
  </si>
  <si>
    <t>This is an academic/portfolio exercise built to demonstrate financial statement review and</t>
  </si>
  <si>
    <t>fluctuation analysis skills, not an official or audited analysis of Titan Company.</t>
  </si>
  <si>
    <t>Integrated Summary — Connecting All 3 Projects</t>
  </si>
  <si>
    <t>Project 1 (Internal Controls Testing) flagged gold/inventory valuation as Titan's most significant</t>
  </si>
  <si>
    <t>audit risk area, given constant gold price volatility and the judgment involved in valuing inventory.</t>
  </si>
  <si>
    <t>Project 3 (this workbook) confirms this risk is materializing in real financial trends: Inventory</t>
  </si>
  <si>
    <t>Days rose from 176 to 217 over FY24-25, tying up increasing cash. To fund this — alongside broader</t>
  </si>
  <si>
    <t>growth — Titan more than doubled its borrowings and drew down its own investments, shifting from</t>
  </si>
  <si>
    <t>a majority equity-funded (43.9%) to a majority debt-funded (28.6%) balance sheet in two years, with</t>
  </si>
  <si>
    <t>Interest Coverage falling sharply as a direct consequence.</t>
  </si>
  <si>
    <t>Project 2 (SQL Anomaly Detection) tested the payment control environment directly and found real</t>
  </si>
  <si>
    <t>gaps — duplicate payments, unusual round-number transactions — meaning that at precisely the time</t>
  </si>
  <si>
    <t>Titan is under increasing financial pressure from its growth and inventory strategy, the basic</t>
  </si>
  <si>
    <t>operational controls meant to safeguard cash outflows are not yet fully effective.</t>
  </si>
  <si>
    <t>Taken together, these three workstreams — risk identification, operational control testing, and</t>
  </si>
  <si>
    <t>financial statement analysis — tell one integrated story rather than three separate ones: a company</t>
  </si>
  <si>
    <t>financing rapid growth in a genuinely risky category (gold inventory) increasingly through debt,</t>
  </si>
  <si>
    <t>while foundational payment controls still need strengthening.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</si>
</sst>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3" borderId="1" xfId="0" applyFont="1" applyFill="1" applyBorder="1"/>
    <xf numFmtId="0" fontId="4" fillId="2" borderId="1" xfId="0" applyFont="1" applyFill="1" applyBorder="1"/>
    <xf numFmtId="0" fontId="2" fillId="0" borderId="1" xfId="0" applyFont="1" applyBorder="1"/>
    <xf numFmtId="0" fontId="4" fillId="2" borderId="0" xfId="0" applyFont="1" applyFill="1"/>
    <xf numFmtId="0" fontId="2" fillId="0" borderId="0" xfId="0" applyFont="1" applyAlignment="1">
      <alignment horizontal="left" vertical="top" wrapText="1"/>
    </xf>
    <xf numFmtId="0" fontId="0" fillId="0" borderId="1" xfId="0" applyBorder="1"/>
    <xf numFmtId="0" fontId="3" fillId="0" borderId="0" xfId="0" applyFont="1"/>
    <xf numFmtId="0" fontId="0" fillId="0" borderId="0" xfId="0"/>
    <xf numFmtId="0" fontId="1" fillId="0" borderId="0" xfId="0" applyFont="1"/>
    <xf numFmtId="172" fontId="6" fillId="4" borderId="1" xfId="0" applyNumberFormat="1" applyFont="1" applyFill="1" applyBorder="1"/>
    <xf numFmtId="172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/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/>
    </row>
    <row r="23" spans="1:1" x14ac:dyDescent="0.25">
      <c r="A23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pane ySplit="4" topLeftCell="A14" activePane="bottomLeft" state="frozen"/>
      <selection pane="bottomLeft" activeCell="F25" sqref="F25"/>
    </sheetView>
  </sheetViews>
  <sheetFormatPr defaultRowHeight="15" x14ac:dyDescent="0.25"/>
  <cols>
    <col min="1" max="1" width="24" customWidth="1"/>
    <col min="2" max="4" width="12" customWidth="1"/>
    <col min="5" max="6" width="16" customWidth="1"/>
  </cols>
  <sheetData>
    <row r="1" spans="1:6" ht="18" x14ac:dyDescent="0.25">
      <c r="A1" s="14" t="s">
        <v>18</v>
      </c>
      <c r="B1" s="13"/>
      <c r="C1" s="13"/>
      <c r="D1" s="13"/>
      <c r="E1" s="13"/>
      <c r="F1" s="13"/>
    </row>
    <row r="2" spans="1:6" x14ac:dyDescent="0.25">
      <c r="A2" s="12" t="s">
        <v>19</v>
      </c>
      <c r="B2" s="13"/>
      <c r="C2" s="13"/>
      <c r="D2" s="13"/>
      <c r="E2" s="13"/>
      <c r="F2" s="13"/>
    </row>
    <row r="4" spans="1:6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</row>
    <row r="5" spans="1:6" x14ac:dyDescent="0.25">
      <c r="A5" s="5" t="s">
        <v>26</v>
      </c>
    </row>
    <row r="6" spans="1:6" x14ac:dyDescent="0.25">
      <c r="A6" s="2" t="s">
        <v>27</v>
      </c>
      <c r="B6" s="6">
        <v>40575</v>
      </c>
      <c r="C6" s="6">
        <v>51084</v>
      </c>
      <c r="D6" s="6">
        <v>60456</v>
      </c>
      <c r="E6" s="15">
        <f t="shared" ref="E6:F13" si="0">(C6-B6)/B6*100</f>
        <v>25.900184842883551</v>
      </c>
      <c r="F6" s="15">
        <f t="shared" si="0"/>
        <v>18.34625322997416</v>
      </c>
    </row>
    <row r="7" spans="1:6" x14ac:dyDescent="0.25">
      <c r="A7" s="2" t="s">
        <v>28</v>
      </c>
      <c r="B7" s="6">
        <v>35693</v>
      </c>
      <c r="C7" s="6">
        <v>45792</v>
      </c>
      <c r="D7" s="6">
        <v>54762</v>
      </c>
      <c r="E7" s="15">
        <f t="shared" ref="E7:E13" si="1">(C7-B7)/B7*100</f>
        <v>28.294063261703979</v>
      </c>
      <c r="F7" s="15">
        <f t="shared" ref="F7:F13" si="2">(D7-C7)/C7*100</f>
        <v>19.588574423480086</v>
      </c>
    </row>
    <row r="8" spans="1:6" x14ac:dyDescent="0.25">
      <c r="A8" s="2" t="s">
        <v>29</v>
      </c>
      <c r="B8" s="6">
        <v>4882</v>
      </c>
      <c r="C8" s="6">
        <v>5292</v>
      </c>
      <c r="D8" s="6">
        <v>5694</v>
      </c>
      <c r="E8" s="15">
        <f t="shared" si="1"/>
        <v>8.3981974600573537</v>
      </c>
      <c r="F8" s="15">
        <f t="shared" si="2"/>
        <v>7.5963718820861681</v>
      </c>
    </row>
    <row r="9" spans="1:6" x14ac:dyDescent="0.25">
      <c r="A9" s="2" t="s">
        <v>30</v>
      </c>
      <c r="B9" s="6">
        <v>306</v>
      </c>
      <c r="C9" s="6">
        <v>534</v>
      </c>
      <c r="D9" s="6">
        <v>487</v>
      </c>
      <c r="E9" s="15">
        <f t="shared" si="1"/>
        <v>74.509803921568633</v>
      </c>
      <c r="F9" s="15">
        <f t="shared" si="2"/>
        <v>-8.8014981273408246</v>
      </c>
    </row>
    <row r="10" spans="1:6" x14ac:dyDescent="0.25">
      <c r="A10" s="2" t="s">
        <v>31</v>
      </c>
      <c r="B10" s="6">
        <v>300</v>
      </c>
      <c r="C10" s="6">
        <v>619</v>
      </c>
      <c r="D10" s="6">
        <v>953</v>
      </c>
      <c r="E10" s="15">
        <f t="shared" si="1"/>
        <v>106.33333333333333</v>
      </c>
      <c r="F10" s="15">
        <f t="shared" si="2"/>
        <v>53.957996768982227</v>
      </c>
    </row>
    <row r="11" spans="1:6" x14ac:dyDescent="0.25">
      <c r="A11" s="2" t="s">
        <v>32</v>
      </c>
      <c r="B11" s="6">
        <v>441</v>
      </c>
      <c r="C11" s="6">
        <v>584</v>
      </c>
      <c r="D11" s="6">
        <v>693</v>
      </c>
      <c r="E11" s="15">
        <f t="shared" si="1"/>
        <v>32.426303854875286</v>
      </c>
      <c r="F11" s="15">
        <f t="shared" si="2"/>
        <v>18.664383561643834</v>
      </c>
    </row>
    <row r="12" spans="1:6" x14ac:dyDescent="0.25">
      <c r="A12" s="2" t="s">
        <v>33</v>
      </c>
      <c r="B12" s="6">
        <v>4447</v>
      </c>
      <c r="C12" s="6">
        <v>4623</v>
      </c>
      <c r="D12" s="6">
        <v>4535</v>
      </c>
      <c r="E12" s="15">
        <f t="shared" si="1"/>
        <v>3.9577243085225997</v>
      </c>
      <c r="F12" s="15">
        <f t="shared" si="2"/>
        <v>-1.9035258490157907</v>
      </c>
    </row>
    <row r="13" spans="1:6" x14ac:dyDescent="0.25">
      <c r="A13" s="2" t="s">
        <v>34</v>
      </c>
      <c r="B13" s="6">
        <v>3274</v>
      </c>
      <c r="C13" s="6">
        <v>3496</v>
      </c>
      <c r="D13" s="6">
        <v>3337</v>
      </c>
      <c r="E13" s="15">
        <f t="shared" si="1"/>
        <v>6.7806963958460598</v>
      </c>
      <c r="F13" s="15">
        <f t="shared" si="2"/>
        <v>-4.5480549199084663</v>
      </c>
    </row>
    <row r="15" spans="1:6" x14ac:dyDescent="0.25">
      <c r="A15" s="5" t="s">
        <v>35</v>
      </c>
    </row>
    <row r="16" spans="1:6" x14ac:dyDescent="0.25">
      <c r="A16" s="2" t="s">
        <v>36</v>
      </c>
      <c r="B16" s="6">
        <v>11762</v>
      </c>
      <c r="C16" s="6">
        <v>9304</v>
      </c>
      <c r="D16" s="6">
        <v>11535</v>
      </c>
      <c r="E16" s="15">
        <f t="shared" ref="E16:F22" si="3">(C16-B16)/B16*100</f>
        <v>-20.897806495493963</v>
      </c>
      <c r="F16" s="15">
        <f t="shared" si="3"/>
        <v>23.978933791917456</v>
      </c>
    </row>
    <row r="17" spans="1:6" x14ac:dyDescent="0.25">
      <c r="A17" s="2" t="s">
        <v>37</v>
      </c>
      <c r="B17" s="6">
        <v>9367</v>
      </c>
      <c r="C17" s="6">
        <v>15528</v>
      </c>
      <c r="D17" s="6">
        <v>20777</v>
      </c>
      <c r="E17" s="15">
        <f t="shared" ref="E17:E22" si="4">(C17-B17)/B17*100</f>
        <v>65.773460019216401</v>
      </c>
      <c r="F17" s="15">
        <f t="shared" ref="F17:F22" si="5">(D17-C17)/C17*100</f>
        <v>33.803451828954145</v>
      </c>
    </row>
    <row r="18" spans="1:6" x14ac:dyDescent="0.25">
      <c r="A18" s="2" t="s">
        <v>38</v>
      </c>
      <c r="B18" s="6">
        <v>5802</v>
      </c>
      <c r="C18" s="6">
        <v>6626</v>
      </c>
      <c r="D18" s="6">
        <v>8244</v>
      </c>
      <c r="E18" s="15">
        <f t="shared" si="4"/>
        <v>14.201999310582558</v>
      </c>
      <c r="F18" s="15">
        <f t="shared" si="5"/>
        <v>24.418955629338967</v>
      </c>
    </row>
    <row r="19" spans="1:6" x14ac:dyDescent="0.25">
      <c r="A19" s="2" t="s">
        <v>39</v>
      </c>
      <c r="B19" s="6">
        <v>27020</v>
      </c>
      <c r="C19" s="6">
        <v>31547</v>
      </c>
      <c r="D19" s="6">
        <v>40645</v>
      </c>
      <c r="E19" s="15">
        <f t="shared" si="4"/>
        <v>16.754256106587711</v>
      </c>
      <c r="F19" s="15">
        <f t="shared" si="5"/>
        <v>28.839509303578787</v>
      </c>
    </row>
    <row r="20" spans="1:6" x14ac:dyDescent="0.25">
      <c r="A20" s="2" t="s">
        <v>40</v>
      </c>
      <c r="B20" s="6">
        <v>2998</v>
      </c>
      <c r="C20" s="6">
        <v>3709</v>
      </c>
      <c r="D20" s="6">
        <v>4062</v>
      </c>
      <c r="E20" s="15">
        <f t="shared" si="4"/>
        <v>23.715810540360241</v>
      </c>
      <c r="F20" s="15">
        <f t="shared" si="5"/>
        <v>9.5173901321110819</v>
      </c>
    </row>
    <row r="21" spans="1:6" x14ac:dyDescent="0.25">
      <c r="A21" s="2" t="s">
        <v>41</v>
      </c>
      <c r="B21" s="6">
        <v>2515</v>
      </c>
      <c r="C21" s="6">
        <v>2345</v>
      </c>
      <c r="D21" s="6">
        <v>1988</v>
      </c>
      <c r="E21" s="15">
        <f t="shared" si="4"/>
        <v>-6.7594433399602387</v>
      </c>
      <c r="F21" s="15">
        <f t="shared" si="5"/>
        <v>-15.223880597014924</v>
      </c>
    </row>
    <row r="22" spans="1:6" x14ac:dyDescent="0.25">
      <c r="A22" s="2" t="s">
        <v>42</v>
      </c>
      <c r="B22" s="6">
        <v>21363</v>
      </c>
      <c r="C22" s="6">
        <v>25396</v>
      </c>
      <c r="D22" s="6">
        <v>34490</v>
      </c>
      <c r="E22" s="15">
        <f t="shared" si="4"/>
        <v>18.878434676777605</v>
      </c>
      <c r="F22" s="15">
        <f t="shared" si="5"/>
        <v>35.808788785635528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F18" sqref="F18"/>
    </sheetView>
  </sheetViews>
  <sheetFormatPr defaultRowHeight="15" x14ac:dyDescent="0.25"/>
  <cols>
    <col min="1" max="1" width="42" customWidth="1"/>
    <col min="2" max="4" width="12" customWidth="1"/>
  </cols>
  <sheetData>
    <row r="1" spans="1:4" ht="18" x14ac:dyDescent="0.25">
      <c r="A1" s="14" t="s">
        <v>43</v>
      </c>
      <c r="B1" s="13"/>
      <c r="C1" s="13"/>
      <c r="D1" s="13"/>
    </row>
    <row r="3" spans="1:4" x14ac:dyDescent="0.25">
      <c r="A3" s="7" t="s">
        <v>44</v>
      </c>
      <c r="B3" s="7" t="s">
        <v>21</v>
      </c>
      <c r="C3" s="7" t="s">
        <v>22</v>
      </c>
      <c r="D3" s="7" t="s">
        <v>23</v>
      </c>
    </row>
    <row r="4" spans="1:4" x14ac:dyDescent="0.25">
      <c r="A4" s="8" t="s">
        <v>45</v>
      </c>
      <c r="B4" s="16">
        <f>'Variance Analysis'!B8/'Variance Analysis'!B6*100</f>
        <v>12.032039433148491</v>
      </c>
      <c r="C4" s="16">
        <f>'Variance Analysis'!C8/'Variance Analysis'!C6*100</f>
        <v>10.359408033826638</v>
      </c>
      <c r="D4" s="16">
        <f>'Variance Analysis'!D8/'Variance Analysis'!D6*100</f>
        <v>9.4184200079396589</v>
      </c>
    </row>
    <row r="5" spans="1:4" x14ac:dyDescent="0.25">
      <c r="A5" s="8" t="s">
        <v>46</v>
      </c>
      <c r="B5" s="16">
        <f>'Variance Analysis'!B9/'Variance Analysis'!B7*100</f>
        <v>0.85731095733056906</v>
      </c>
      <c r="C5" s="16">
        <f>'Variance Analysis'!C9/'Variance Analysis'!C7*100</f>
        <v>1.1661425576519917</v>
      </c>
      <c r="D5" s="16">
        <f>'Variance Analysis'!D9/'Variance Analysis'!D7*100</f>
        <v>0.88930280121251959</v>
      </c>
    </row>
    <row r="6" spans="1:4" x14ac:dyDescent="0.25">
      <c r="A6" s="8" t="s">
        <v>47</v>
      </c>
      <c r="B6" s="16">
        <f>'Variance Analysis'!B10/'Variance Analysis'!B8*100</f>
        <v>6.1450225317492828</v>
      </c>
      <c r="C6" s="16">
        <f>'Variance Analysis'!C10/'Variance Analysis'!C8*100</f>
        <v>11.696900982615269</v>
      </c>
      <c r="D6" s="16">
        <f>'Variance Analysis'!D10/'Variance Analysis'!D8*100</f>
        <v>16.736916051984547</v>
      </c>
    </row>
    <row r="7" spans="1:4" x14ac:dyDescent="0.25">
      <c r="A7" s="8" t="s">
        <v>48</v>
      </c>
      <c r="B7" s="16">
        <f>'Variance Analysis'!B11/'Variance Analysis'!B9*100</f>
        <v>144.11764705882354</v>
      </c>
      <c r="C7" s="16">
        <f>'Variance Analysis'!C11/'Variance Analysis'!C9*100</f>
        <v>109.36329588014982</v>
      </c>
      <c r="D7" s="16">
        <f>'Variance Analysis'!D11/'Variance Analysis'!D9*100</f>
        <v>142.29979466119096</v>
      </c>
    </row>
    <row r="8" spans="1:4" x14ac:dyDescent="0.25">
      <c r="A8" s="8" t="s">
        <v>49</v>
      </c>
      <c r="B8" s="16">
        <f>'Variance Analysis'!B12/'Variance Analysis'!B10*100</f>
        <v>1482.3333333333335</v>
      </c>
      <c r="C8" s="16">
        <f>'Variance Analysis'!C12/'Variance Analysis'!C10*100</f>
        <v>746.84975767366723</v>
      </c>
      <c r="D8" s="16">
        <f>'Variance Analysis'!D12/'Variance Analysis'!D10*100</f>
        <v>475.86568730325291</v>
      </c>
    </row>
    <row r="10" spans="1:4" x14ac:dyDescent="0.25">
      <c r="A10" s="5" t="s">
        <v>50</v>
      </c>
    </row>
    <row r="11" spans="1:4" x14ac:dyDescent="0.25">
      <c r="A11" s="8" t="s">
        <v>51</v>
      </c>
      <c r="B11" s="6">
        <v>6</v>
      </c>
      <c r="C11" s="6">
        <v>7</v>
      </c>
      <c r="D11" s="6">
        <v>6</v>
      </c>
    </row>
    <row r="12" spans="1:4" x14ac:dyDescent="0.25">
      <c r="A12" s="8" t="s">
        <v>52</v>
      </c>
      <c r="B12" s="6">
        <v>199</v>
      </c>
      <c r="C12" s="6">
        <v>176</v>
      </c>
      <c r="D12" s="6">
        <v>217</v>
      </c>
    </row>
    <row r="13" spans="1:4" x14ac:dyDescent="0.25">
      <c r="A13" s="8" t="s">
        <v>53</v>
      </c>
      <c r="B13" s="6">
        <v>15</v>
      </c>
      <c r="C13" s="6">
        <v>13</v>
      </c>
      <c r="D13" s="6">
        <v>15</v>
      </c>
    </row>
    <row r="14" spans="1:4" x14ac:dyDescent="0.25">
      <c r="A14" s="8" t="s">
        <v>54</v>
      </c>
      <c r="B14" s="6">
        <v>191</v>
      </c>
      <c r="C14" s="6">
        <v>171</v>
      </c>
      <c r="D14" s="6">
        <v>208</v>
      </c>
    </row>
    <row r="15" spans="1:4" x14ac:dyDescent="0.25">
      <c r="A15" s="8" t="s">
        <v>55</v>
      </c>
      <c r="B15" s="6">
        <v>25</v>
      </c>
      <c r="C15" s="6">
        <v>23</v>
      </c>
      <c r="D15" s="6">
        <v>19</v>
      </c>
    </row>
    <row r="17" spans="1:4" x14ac:dyDescent="0.25">
      <c r="A17" s="5" t="s">
        <v>56</v>
      </c>
    </row>
    <row r="18" spans="1:4" x14ac:dyDescent="0.25">
      <c r="A18" s="11"/>
      <c r="B18" s="16">
        <f>('Variance Analysis'!B16+89)/'Variance Analysis'!B19*100</f>
        <v>43.860103626943001</v>
      </c>
      <c r="C18" s="16">
        <f>('Variance Analysis'!C16+89)/'Variance Analysis'!C19*100</f>
        <v>29.774621992582496</v>
      </c>
      <c r="D18" s="16">
        <f>('Variance Analysis'!D16+89)/'Variance Analysis'!D19*100</f>
        <v>28.598843646204948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57</v>
      </c>
    </row>
    <row r="2" spans="1:1" x14ac:dyDescent="0.25">
      <c r="A2" s="2"/>
    </row>
    <row r="3" spans="1:1" x14ac:dyDescent="0.25">
      <c r="A3" s="2" t="s">
        <v>58</v>
      </c>
    </row>
    <row r="4" spans="1:1" x14ac:dyDescent="0.25">
      <c r="A4" s="2" t="s">
        <v>59</v>
      </c>
    </row>
    <row r="5" spans="1:1" x14ac:dyDescent="0.25">
      <c r="A5" s="2" t="s">
        <v>60</v>
      </c>
    </row>
    <row r="6" spans="1:1" x14ac:dyDescent="0.25">
      <c r="A6" s="2" t="s">
        <v>61</v>
      </c>
    </row>
    <row r="7" spans="1:1" x14ac:dyDescent="0.25">
      <c r="A7" s="2"/>
    </row>
    <row r="8" spans="1:1" x14ac:dyDescent="0.25">
      <c r="A8" s="2" t="s">
        <v>62</v>
      </c>
    </row>
    <row r="9" spans="1:1" x14ac:dyDescent="0.25">
      <c r="A9" s="2" t="s">
        <v>63</v>
      </c>
    </row>
    <row r="10" spans="1:1" x14ac:dyDescent="0.25">
      <c r="A10" s="2" t="s">
        <v>64</v>
      </c>
    </row>
    <row r="11" spans="1:1" x14ac:dyDescent="0.25">
      <c r="A11" s="2" t="s">
        <v>65</v>
      </c>
    </row>
    <row r="12" spans="1:1" x14ac:dyDescent="0.25">
      <c r="A12" s="2"/>
    </row>
    <row r="13" spans="1:1" x14ac:dyDescent="0.25">
      <c r="A13" s="2" t="s">
        <v>66</v>
      </c>
    </row>
    <row r="14" spans="1:1" x14ac:dyDescent="0.25">
      <c r="A14" s="2" t="s">
        <v>67</v>
      </c>
    </row>
    <row r="15" spans="1:1" x14ac:dyDescent="0.25">
      <c r="A15" s="2" t="s">
        <v>68</v>
      </c>
    </row>
    <row r="16" spans="1:1" x14ac:dyDescent="0.25">
      <c r="A16" s="2" t="s">
        <v>69</v>
      </c>
    </row>
    <row r="17" spans="1:1" x14ac:dyDescent="0.25">
      <c r="A17" s="2" t="s">
        <v>70</v>
      </c>
    </row>
    <row r="18" spans="1:1" x14ac:dyDescent="0.25">
      <c r="A18" s="2" t="s">
        <v>71</v>
      </c>
    </row>
    <row r="19" spans="1:1" x14ac:dyDescent="0.25">
      <c r="A19" s="2"/>
    </row>
    <row r="20" spans="1:1" x14ac:dyDescent="0.25">
      <c r="A20" s="2" t="s">
        <v>72</v>
      </c>
    </row>
    <row r="21" spans="1:1" x14ac:dyDescent="0.25">
      <c r="A21" s="2" t="s">
        <v>73</v>
      </c>
    </row>
    <row r="22" spans="1:1" x14ac:dyDescent="0.25">
      <c r="A22" s="2" t="s">
        <v>74</v>
      </c>
    </row>
    <row r="23" spans="1:1" x14ac:dyDescent="0.25">
      <c r="A23" s="2"/>
    </row>
    <row r="24" spans="1:1" x14ac:dyDescent="0.25">
      <c r="A24" s="2" t="s">
        <v>75</v>
      </c>
    </row>
    <row r="25" spans="1:1" x14ac:dyDescent="0.25">
      <c r="A25" s="2" t="s">
        <v>76</v>
      </c>
    </row>
    <row r="26" spans="1:1" x14ac:dyDescent="0.25">
      <c r="A26" s="2" t="s">
        <v>77</v>
      </c>
    </row>
    <row r="27" spans="1:1" x14ac:dyDescent="0.25">
      <c r="A27" s="2" t="s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opLeftCell="A10" workbookViewId="0"/>
  </sheetViews>
  <sheetFormatPr defaultRowHeight="15" x14ac:dyDescent="0.25"/>
  <cols>
    <col min="1" max="1" width="30" customWidth="1"/>
    <col min="2" max="2" width="90" customWidth="1"/>
  </cols>
  <sheetData>
    <row r="1" spans="1:2" x14ac:dyDescent="0.25">
      <c r="A1" s="9" t="s">
        <v>79</v>
      </c>
      <c r="B1" s="9" t="s">
        <v>80</v>
      </c>
    </row>
    <row r="2" spans="1:2" ht="39.950000000000003" customHeight="1" x14ac:dyDescent="0.25">
      <c r="A2" s="5" t="s">
        <v>81</v>
      </c>
      <c r="B2" s="10" t="s">
        <v>82</v>
      </c>
    </row>
    <row r="3" spans="1:2" ht="39.950000000000003" customHeight="1" x14ac:dyDescent="0.25">
      <c r="A3" s="5" t="s">
        <v>83</v>
      </c>
      <c r="B3" s="10" t="s">
        <v>84</v>
      </c>
    </row>
    <row r="4" spans="1:2" ht="39.950000000000003" customHeight="1" x14ac:dyDescent="0.25">
      <c r="A4" s="5" t="s">
        <v>85</v>
      </c>
      <c r="B4" s="10" t="s">
        <v>86</v>
      </c>
    </row>
    <row r="5" spans="1:2" ht="39.950000000000003" customHeight="1" x14ac:dyDescent="0.25">
      <c r="A5" s="5" t="s">
        <v>87</v>
      </c>
      <c r="B5" s="10" t="s">
        <v>88</v>
      </c>
    </row>
    <row r="6" spans="1:2" ht="39.950000000000003" customHeight="1" x14ac:dyDescent="0.25">
      <c r="A6" s="5" t="s">
        <v>89</v>
      </c>
      <c r="B6" s="10" t="s">
        <v>90</v>
      </c>
    </row>
    <row r="7" spans="1:2" ht="39.950000000000003" customHeight="1" x14ac:dyDescent="0.25">
      <c r="A7" s="5" t="s">
        <v>91</v>
      </c>
      <c r="B7" s="10" t="s">
        <v>92</v>
      </c>
    </row>
    <row r="8" spans="1:2" ht="39.950000000000003" customHeight="1" x14ac:dyDescent="0.25">
      <c r="A8" s="5" t="s">
        <v>93</v>
      </c>
      <c r="B8" s="10" t="s">
        <v>94</v>
      </c>
    </row>
    <row r="9" spans="1:2" ht="39.950000000000003" customHeight="1" x14ac:dyDescent="0.25">
      <c r="A9" s="5" t="s">
        <v>95</v>
      </c>
      <c r="B9" s="10" t="s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8"/>
  <sheetViews>
    <sheetView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97</v>
      </c>
    </row>
    <row r="2" spans="1:1" x14ac:dyDescent="0.25">
      <c r="A2" s="2"/>
    </row>
    <row r="3" spans="1:1" x14ac:dyDescent="0.25">
      <c r="A3" s="2" t="s">
        <v>98</v>
      </c>
    </row>
    <row r="4" spans="1:1" x14ac:dyDescent="0.25">
      <c r="A4" s="2" t="s">
        <v>99</v>
      </c>
    </row>
    <row r="5" spans="1:1" x14ac:dyDescent="0.25">
      <c r="A5" s="2" t="s">
        <v>100</v>
      </c>
    </row>
    <row r="6" spans="1:1" x14ac:dyDescent="0.25">
      <c r="A6" s="2" t="s">
        <v>101</v>
      </c>
    </row>
    <row r="7" spans="1:1" x14ac:dyDescent="0.25">
      <c r="A7" s="2" t="s">
        <v>102</v>
      </c>
    </row>
    <row r="8" spans="1:1" x14ac:dyDescent="0.25">
      <c r="A8" s="2"/>
    </row>
    <row r="9" spans="1:1" x14ac:dyDescent="0.25">
      <c r="A9" s="2" t="s">
        <v>103</v>
      </c>
    </row>
    <row r="10" spans="1:1" x14ac:dyDescent="0.25">
      <c r="A10" s="2" t="s">
        <v>104</v>
      </c>
    </row>
    <row r="11" spans="1:1" x14ac:dyDescent="0.25">
      <c r="A11" s="2" t="s">
        <v>105</v>
      </c>
    </row>
    <row r="12" spans="1:1" x14ac:dyDescent="0.25">
      <c r="A12" s="2" t="s">
        <v>106</v>
      </c>
    </row>
    <row r="13" spans="1:1" x14ac:dyDescent="0.25">
      <c r="A13" s="2"/>
    </row>
    <row r="14" spans="1:1" x14ac:dyDescent="0.25">
      <c r="A14" s="2" t="s">
        <v>107</v>
      </c>
    </row>
    <row r="15" spans="1:1" x14ac:dyDescent="0.25">
      <c r="A15" s="2" t="s">
        <v>108</v>
      </c>
    </row>
    <row r="16" spans="1:1" x14ac:dyDescent="0.25">
      <c r="A16" s="2"/>
    </row>
    <row r="17" spans="1:1" x14ac:dyDescent="0.25">
      <c r="A17" s="2" t="s">
        <v>109</v>
      </c>
    </row>
    <row r="18" spans="1:1" x14ac:dyDescent="0.25">
      <c r="A18" s="2" t="s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"/>
  <sheetViews>
    <sheetView tabSelected="1"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111</v>
      </c>
    </row>
    <row r="2" spans="1:1" x14ac:dyDescent="0.25">
      <c r="A2" s="2"/>
    </row>
    <row r="3" spans="1:1" x14ac:dyDescent="0.25">
      <c r="A3" s="2" t="s">
        <v>112</v>
      </c>
    </row>
    <row r="4" spans="1:1" x14ac:dyDescent="0.25">
      <c r="A4" s="2" t="s">
        <v>113</v>
      </c>
    </row>
    <row r="5" spans="1:1" x14ac:dyDescent="0.25">
      <c r="A5" s="2"/>
    </row>
    <row r="6" spans="1:1" x14ac:dyDescent="0.25">
      <c r="A6" s="2" t="s">
        <v>114</v>
      </c>
    </row>
    <row r="7" spans="1:1" x14ac:dyDescent="0.25">
      <c r="A7" s="2" t="s">
        <v>115</v>
      </c>
    </row>
    <row r="8" spans="1:1" x14ac:dyDescent="0.25">
      <c r="A8" s="2" t="s">
        <v>116</v>
      </c>
    </row>
    <row r="9" spans="1:1" x14ac:dyDescent="0.25">
      <c r="A9" s="2" t="s">
        <v>117</v>
      </c>
    </row>
    <row r="10" spans="1:1" x14ac:dyDescent="0.25">
      <c r="A10" s="2" t="s">
        <v>118</v>
      </c>
    </row>
    <row r="11" spans="1:1" x14ac:dyDescent="0.25">
      <c r="A11" s="2"/>
    </row>
    <row r="12" spans="1:1" x14ac:dyDescent="0.25">
      <c r="A12" s="2" t="s">
        <v>119</v>
      </c>
    </row>
    <row r="13" spans="1:1" x14ac:dyDescent="0.25">
      <c r="A13" s="2" t="s">
        <v>120</v>
      </c>
    </row>
    <row r="14" spans="1:1" x14ac:dyDescent="0.25">
      <c r="A14" s="2" t="s">
        <v>121</v>
      </c>
    </row>
    <row r="15" spans="1:1" x14ac:dyDescent="0.25">
      <c r="A15" s="2" t="s">
        <v>122</v>
      </c>
    </row>
    <row r="16" spans="1:1" x14ac:dyDescent="0.25">
      <c r="A16" s="2"/>
    </row>
    <row r="17" spans="1:1" x14ac:dyDescent="0.25">
      <c r="A17" s="2" t="s">
        <v>123</v>
      </c>
    </row>
    <row r="18" spans="1:1" x14ac:dyDescent="0.25">
      <c r="A18" s="2" t="s">
        <v>124</v>
      </c>
    </row>
    <row r="19" spans="1:1" x14ac:dyDescent="0.25">
      <c r="A19" s="2" t="s">
        <v>125</v>
      </c>
    </row>
    <row r="20" spans="1:1" x14ac:dyDescent="0.25">
      <c r="A20" s="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Variance Analysis</vt:lpstr>
      <vt:lpstr>Ratio Analysis</vt:lpstr>
      <vt:lpstr>Narrative Memo</vt:lpstr>
      <vt:lpstr>Learning Notes</vt:lpstr>
      <vt:lpstr>Sources and Assumptions</vt:lpstr>
      <vt:lpstr>Integrated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Paka</cp:lastModifiedBy>
  <dcterms:created xsi:type="dcterms:W3CDTF">2026-08-25T10:55:52Z</dcterms:created>
  <dcterms:modified xsi:type="dcterms:W3CDTF">2026-08-25T11:05:39Z</dcterms:modified>
</cp:coreProperties>
</file>